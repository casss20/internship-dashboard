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Summary" sheetId="2" state="visible" r:id="rId2"/>
    <sheet name="Skipped Duplicates" sheetId="3" state="visible" r:id="rId3"/>
    <sheet name="Flagged for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530"/>
        <bgColor rgb="001f2530"/>
      </patternFill>
    </fill>
    <fill>
      <patternFill patternType="solid">
        <fgColor rgb="00f5a623"/>
        <bgColor rgb="00f5a623"/>
      </patternFill>
    </fill>
    <fill>
      <patternFill patternType="solid">
        <fgColor rgb="00ff4560"/>
        <bgColor rgb="00ff4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35" customWidth="1" min="4" max="4"/>
    <col width="15" customWidth="1" min="5" max="5"/>
    <col width="12" customWidth="1" min="6" max="6"/>
    <col width="15" customWidth="1" min="7" max="7"/>
    <col width="15" customWidth="1" min="8" max="8"/>
    <col width="18" customWidth="1" min="9" max="9"/>
    <col width="12" customWidth="1" min="10" max="10"/>
    <col width="15" customWidth="1" min="11" max="11"/>
    <col width="18" customWidth="1" min="12" max="12"/>
    <col width="25" customWidth="1" min="13" max="13"/>
    <col width="12" customWidth="1" min="14" max="14"/>
    <col width="12" customWidth="1" min="15" max="15"/>
    <col width="12" customWidth="1" min="16" max="16"/>
    <col width="15" customWidth="1" min="17" max="17"/>
    <col width="15" customWidth="1" min="18" max="18"/>
    <col width="30" customWidth="1" min="19" max="19"/>
    <col width="12" customWidth="1" min="20" max="20"/>
    <col width="10" customWidth="1" min="21" max="21"/>
  </cols>
  <sheetData>
    <row r="1">
      <c r="A1" s="1" t="inlineStr">
        <is>
          <t>Date Applied</t>
        </is>
      </c>
      <c r="B1" s="1" t="inlineStr">
        <is>
          <t>Company</t>
        </is>
      </c>
      <c r="C1" s="1" t="inlineStr">
        <is>
          <t>Role Title</t>
        </is>
      </c>
      <c r="D1" s="1" t="inlineStr">
        <is>
          <t>Job URL</t>
        </is>
      </c>
      <c r="E1" s="1" t="inlineStr">
        <is>
          <t>Application Portal</t>
        </is>
      </c>
      <c r="F1" s="1" t="inlineStr">
        <is>
          <t>Term</t>
        </is>
      </c>
      <c r="G1" s="1" t="inlineStr">
        <is>
          <t>Location</t>
        </is>
      </c>
      <c r="H1" s="1" t="inlineStr">
        <is>
          <t>Status</t>
        </is>
      </c>
      <c r="I1" s="1" t="inlineStr">
        <is>
          <t>Resume Version Used</t>
        </is>
      </c>
      <c r="J1" s="1" t="inlineStr">
        <is>
          <t>Cover Letter</t>
        </is>
      </c>
      <c r="K1" s="1" t="inlineStr">
        <is>
          <t>Cold Email Sent</t>
        </is>
      </c>
      <c r="L1" s="1" t="inlineStr">
        <is>
          <t>Recruiter Name</t>
        </is>
      </c>
      <c r="M1" s="1" t="inlineStr">
        <is>
          <t>Recruiter Email</t>
        </is>
      </c>
      <c r="N1" s="1" t="inlineStr">
        <is>
          <t>Cold Email Date</t>
        </is>
      </c>
      <c r="O1" s="1" t="inlineStr">
        <is>
          <t>Follow-up Sent</t>
        </is>
      </c>
      <c r="P1" s="1" t="inlineStr">
        <is>
          <t>Follow-up Date</t>
        </is>
      </c>
      <c r="Q1" s="1" t="inlineStr">
        <is>
          <t>Response Received</t>
        </is>
      </c>
      <c r="R1" s="1" t="inlineStr">
        <is>
          <t>Response Type</t>
        </is>
      </c>
      <c r="S1" s="1" t="inlineStr">
        <is>
          <t>Notes</t>
        </is>
      </c>
      <c r="T1" s="1" t="inlineStr">
        <is>
          <t>Match Score (%)</t>
        </is>
      </c>
      <c r="U1" s="1" t="inlineStr">
        <is>
          <t>Priority</t>
        </is>
      </c>
      <c r="V1" s="6" t="inlineStr">
        <is>
          <t>Application ID</t>
        </is>
      </c>
      <c r="W1" s="6" t="inlineStr">
        <is>
          <t>Duplicate Check</t>
        </is>
      </c>
      <c r="X1" s="6" t="inlineStr">
        <is>
          <t>Rejection Date</t>
        </is>
      </c>
      <c r="Y1" s="6" t="inlineStr">
        <is>
          <t>Cooling Off Until</t>
        </is>
      </c>
    </row>
    <row r="2">
      <c r="A2" s="2" t="inlineStr">
        <is>
          <t>APP-001</t>
        </is>
      </c>
      <c r="B2" s="2" t="inlineStr">
        <is>
          <t>SupplyHouse</t>
        </is>
      </c>
      <c r="C2" s="2" t="inlineStr">
        <is>
          <t>AI Enablement</t>
        </is>
      </c>
      <c r="D2" s="2" t="inlineStr">
        <is>
          <t>https://www.supplyhouse.com/careers</t>
        </is>
      </c>
      <c r="E2" s="2" t="inlineStr">
        <is>
          <t>Direct</t>
        </is>
      </c>
      <c r="F2" s="2" t="inlineStr">
        <is>
          <t>Summer 2026</t>
        </is>
      </c>
      <c r="G2" s="2" t="inlineStr">
        <is>
          <t>Remote</t>
        </is>
      </c>
      <c r="H2" s="3" t="inlineStr">
        <is>
          <t>Ready to Submit</t>
        </is>
      </c>
      <c r="I2" s="2" t="inlineStr">
        <is>
          <t>AI_Enhanced</t>
        </is>
      </c>
      <c r="J2" s="2" t="inlineStr">
        <is>
          <t>Yes</t>
        </is>
      </c>
      <c r="K2" s="2" t="inlineStr">
        <is>
          <t>No</t>
        </is>
      </c>
      <c r="L2" s="2" t="inlineStr"/>
      <c r="M2" s="2" t="inlineStr"/>
      <c r="N2" s="2" t="inlineStr"/>
      <c r="O2" s="2" t="inlineStr">
        <is>
          <t>No</t>
        </is>
      </c>
      <c r="P2" s="2" t="inlineStr"/>
      <c r="Q2" s="2" t="inlineStr">
        <is>
          <t>No</t>
        </is>
      </c>
      <c r="R2" s="2" t="inlineStr"/>
      <c r="S2" s="2" t="inlineStr">
        <is>
          <t>Cover letter ready</t>
        </is>
      </c>
      <c r="T2" s="2" t="inlineStr">
        <is>
          <t>85</t>
        </is>
      </c>
      <c r="U2" s="2" t="inlineStr">
        <is>
          <t>High</t>
        </is>
      </c>
    </row>
    <row r="3">
      <c r="A3" s="2" t="inlineStr">
        <is>
          <t>APP-002</t>
        </is>
      </c>
      <c r="B3" s="2" t="inlineStr">
        <is>
          <t>Mercury</t>
        </is>
      </c>
      <c r="C3" s="2" t="inlineStr">
        <is>
          <t>Data Science</t>
        </is>
      </c>
      <c r="D3" s="2" t="inlineStr">
        <is>
          <t>https://mercury.com/careers</t>
        </is>
      </c>
      <c r="E3" s="2" t="inlineStr">
        <is>
          <t>Direct</t>
        </is>
      </c>
      <c r="F3" s="2" t="inlineStr">
        <is>
          <t>Summer 2026</t>
        </is>
      </c>
      <c r="G3" s="2" t="inlineStr">
        <is>
          <t>Remote</t>
        </is>
      </c>
      <c r="H3" s="3" t="inlineStr">
        <is>
          <t>Ready to Submit</t>
        </is>
      </c>
      <c r="I3" s="2" t="inlineStr">
        <is>
          <t>Data_Science</t>
        </is>
      </c>
      <c r="J3" s="2" t="inlineStr">
        <is>
          <t>Yes</t>
        </is>
      </c>
      <c r="K3" s="2" t="inlineStr">
        <is>
          <t>No</t>
        </is>
      </c>
      <c r="L3" s="2" t="inlineStr"/>
      <c r="M3" s="2" t="inlineStr"/>
      <c r="N3" s="2" t="inlineStr"/>
      <c r="O3" s="2" t="inlineStr">
        <is>
          <t>No</t>
        </is>
      </c>
      <c r="P3" s="2" t="inlineStr"/>
      <c r="Q3" s="2" t="inlineStr">
        <is>
          <t>No</t>
        </is>
      </c>
      <c r="R3" s="2" t="inlineStr"/>
      <c r="S3" s="2" t="inlineStr">
        <is>
          <t>Cover letter ready</t>
        </is>
      </c>
      <c r="T3" s="2" t="inlineStr">
        <is>
          <t>82</t>
        </is>
      </c>
      <c r="U3" s="2" t="inlineStr">
        <is>
          <t>High</t>
        </is>
      </c>
    </row>
    <row r="4">
      <c r="A4" s="2" t="inlineStr">
        <is>
          <t>APP-003</t>
        </is>
      </c>
      <c r="B4" s="2" t="inlineStr">
        <is>
          <t>Edged</t>
        </is>
      </c>
      <c r="C4" s="2" t="inlineStr">
        <is>
          <t>2026 Summer Intern</t>
        </is>
      </c>
      <c r="D4" s="2" t="inlineStr"/>
      <c r="E4" s="2" t="inlineStr">
        <is>
          <t>Direct</t>
        </is>
      </c>
      <c r="F4" s="2" t="inlineStr">
        <is>
          <t>Summer 2026</t>
        </is>
      </c>
      <c r="G4" s="2" t="inlineStr">
        <is>
          <t>Remote</t>
        </is>
      </c>
      <c r="H4" s="3" t="inlineStr">
        <is>
          <t>Ready to Submit</t>
        </is>
      </c>
      <c r="I4" s="2" t="inlineStr">
        <is>
          <t>General</t>
        </is>
      </c>
      <c r="J4" s="2" t="inlineStr">
        <is>
          <t>Yes</t>
        </is>
      </c>
      <c r="K4" s="2" t="inlineStr">
        <is>
          <t>No</t>
        </is>
      </c>
      <c r="L4" s="2" t="inlineStr"/>
      <c r="M4" s="2" t="inlineStr"/>
      <c r="N4" s="2" t="inlineStr"/>
      <c r="O4" s="2" t="inlineStr">
        <is>
          <t>No</t>
        </is>
      </c>
      <c r="P4" s="2" t="inlineStr"/>
      <c r="Q4" s="2" t="inlineStr">
        <is>
          <t>No</t>
        </is>
      </c>
      <c r="R4" s="2" t="inlineStr"/>
      <c r="S4" s="2" t="inlineStr">
        <is>
          <t>Cover letter ready</t>
        </is>
      </c>
      <c r="T4" s="2" t="inlineStr">
        <is>
          <t>80</t>
        </is>
      </c>
      <c r="U4" s="2" t="inlineStr">
        <is>
          <t>High</t>
        </is>
      </c>
    </row>
    <row r="5">
      <c r="A5" s="2" t="inlineStr">
        <is>
          <t>APP-004</t>
        </is>
      </c>
      <c r="B5" s="2" t="inlineStr">
        <is>
          <t>Scale AI</t>
        </is>
      </c>
      <c r="C5" s="2" t="inlineStr">
        <is>
          <t>ML Research Intern</t>
        </is>
      </c>
      <c r="D5" s="2" t="inlineStr">
        <is>
          <t>https://scale.com/careers</t>
        </is>
      </c>
      <c r="E5" s="2" t="inlineStr">
        <is>
          <t>Direct</t>
        </is>
      </c>
      <c r="F5" s="2" t="inlineStr">
        <is>
          <t>Summer 2026</t>
        </is>
      </c>
      <c r="G5" s="2" t="inlineStr">
        <is>
          <t>SF/Remote</t>
        </is>
      </c>
      <c r="H5" s="3" t="inlineStr">
        <is>
          <t>Not Started</t>
        </is>
      </c>
      <c r="I5" s="2" t="inlineStr"/>
      <c r="J5" s="2" t="inlineStr">
        <is>
          <t>Yes</t>
        </is>
      </c>
      <c r="K5" s="2" t="inlineStr">
        <is>
          <t>No</t>
        </is>
      </c>
      <c r="L5" s="2" t="inlineStr">
        <is>
          <t>Jonathan Taylor</t>
        </is>
      </c>
      <c r="M5" s="2" t="inlineStr">
        <is>
          <t>jonathan@scale.com</t>
        </is>
      </c>
      <c r="N5" s="2" t="inlineStr"/>
      <c r="O5" s="2" t="inlineStr">
        <is>
          <t>No</t>
        </is>
      </c>
      <c r="P5" s="2" t="inlineStr"/>
      <c r="Q5" s="2" t="inlineStr">
        <is>
          <t>No</t>
        </is>
      </c>
      <c r="R5" s="2" t="inlineStr"/>
      <c r="S5" s="2" t="inlineStr">
        <is>
          <t>Strong AI/ML fit</t>
        </is>
      </c>
      <c r="T5" s="2" t="inlineStr">
        <is>
          <t>88</t>
        </is>
      </c>
      <c r="U5" s="2" t="inlineStr">
        <is>
          <t>High</t>
        </is>
      </c>
    </row>
    <row r="6">
      <c r="A6" s="2" t="inlineStr">
        <is>
          <t>APP-005</t>
        </is>
      </c>
      <c r="B6" s="2" t="inlineStr">
        <is>
          <t>DoorDash</t>
        </is>
      </c>
      <c r="C6" s="2" t="inlineStr">
        <is>
          <t>Machine Learning Intern</t>
        </is>
      </c>
      <c r="D6" s="2" t="inlineStr">
        <is>
          <t>https://careers.doordash.com</t>
        </is>
      </c>
      <c r="E6" s="2" t="inlineStr">
        <is>
          <t>Direct</t>
        </is>
      </c>
      <c r="F6" s="2" t="inlineStr">
        <is>
          <t>Summer 2026</t>
        </is>
      </c>
      <c r="G6" s="2" t="inlineStr">
        <is>
          <t>SF/NY/Seattle</t>
        </is>
      </c>
      <c r="H6" s="3" t="inlineStr">
        <is>
          <t>Not Started</t>
        </is>
      </c>
      <c r="I6" s="2" t="inlineStr"/>
      <c r="J6" s="2" t="inlineStr">
        <is>
          <t>Yes</t>
        </is>
      </c>
      <c r="K6" s="2" t="inlineStr">
        <is>
          <t>No</t>
        </is>
      </c>
      <c r="L6" s="2" t="inlineStr"/>
      <c r="M6" s="2" t="inlineStr"/>
      <c r="N6" s="2" t="inlineStr"/>
      <c r="O6" s="2" t="inlineStr">
        <is>
          <t>No</t>
        </is>
      </c>
      <c r="P6" s="2" t="inlineStr"/>
      <c r="Q6" s="2" t="inlineStr">
        <is>
          <t>No</t>
        </is>
      </c>
      <c r="R6" s="2" t="inlineStr"/>
      <c r="S6" s="2" t="inlineStr">
        <is>
          <t>ML pipeline experience match</t>
        </is>
      </c>
      <c r="T6" s="2" t="inlineStr">
        <is>
          <t>85</t>
        </is>
      </c>
      <c r="U6" s="2" t="inlineStr">
        <is>
          <t>High</t>
        </is>
      </c>
    </row>
    <row r="7">
      <c r="A7" s="2" t="inlineStr">
        <is>
          <t>APP-006</t>
        </is>
      </c>
      <c r="B7" s="2" t="inlineStr">
        <is>
          <t>GuidePoint</t>
        </is>
      </c>
      <c r="C7" s="2" t="inlineStr">
        <is>
          <t>GPSU Cybersecurity</t>
        </is>
      </c>
      <c r="D7" s="2" t="inlineStr">
        <is>
          <t>https://www.guidepointsecurity.com/careers</t>
        </is>
      </c>
      <c r="E7" s="2" t="inlineStr">
        <is>
          <t>Direct</t>
        </is>
      </c>
      <c r="F7" s="2" t="inlineStr">
        <is>
          <t>Summer 2026</t>
        </is>
      </c>
      <c r="G7" s="2" t="inlineStr">
        <is>
          <t>Remote</t>
        </is>
      </c>
      <c r="H7" s="3" t="inlineStr">
        <is>
          <t>Ready to Submit</t>
        </is>
      </c>
      <c r="I7" s="2" t="inlineStr">
        <is>
          <t>Cybersecurity</t>
        </is>
      </c>
      <c r="J7" s="2" t="inlineStr">
        <is>
          <t>Yes</t>
        </is>
      </c>
      <c r="K7" s="2" t="inlineStr">
        <is>
          <t>No</t>
        </is>
      </c>
      <c r="L7" s="2" t="inlineStr">
        <is>
          <t>Taylor Pierotti</t>
        </is>
      </c>
      <c r="M7" s="2" t="inlineStr">
        <is>
          <t>taylor@guidepointsecurity.com</t>
        </is>
      </c>
      <c r="N7" s="2" t="inlineStr"/>
      <c r="O7" s="2" t="inlineStr">
        <is>
          <t>No</t>
        </is>
      </c>
      <c r="P7" s="2" t="inlineStr"/>
      <c r="Q7" s="2" t="inlineStr">
        <is>
          <t>No</t>
        </is>
      </c>
      <c r="R7" s="2" t="inlineStr"/>
      <c r="S7" s="2" t="inlineStr">
        <is>
          <t>Cover letter ready</t>
        </is>
      </c>
      <c r="T7" s="2" t="inlineStr">
        <is>
          <t>90</t>
        </is>
      </c>
      <c r="U7" s="2" t="inlineStr">
        <is>
          <t>High</t>
        </is>
      </c>
    </row>
    <row r="8">
      <c r="A8" s="2" t="inlineStr">
        <is>
          <t>APP-007</t>
        </is>
      </c>
      <c r="B8" s="2" t="inlineStr">
        <is>
          <t>Crystal Dynamics</t>
        </is>
      </c>
      <c r="C8" s="2" t="inlineStr">
        <is>
          <t>Cyber Security</t>
        </is>
      </c>
      <c r="D8" s="2" t="inlineStr">
        <is>
          <t>https://crystaldynamics.com/careers</t>
        </is>
      </c>
      <c r="E8" s="2" t="inlineStr">
        <is>
          <t>Direct</t>
        </is>
      </c>
      <c r="F8" s="2" t="inlineStr">
        <is>
          <t>Summer 2026</t>
        </is>
      </c>
      <c r="G8" s="2" t="inlineStr">
        <is>
          <t>Hybrid</t>
        </is>
      </c>
      <c r="H8" s="3" t="inlineStr">
        <is>
          <t>Ready to Submit</t>
        </is>
      </c>
      <c r="I8" s="2" t="inlineStr">
        <is>
          <t>Cybersecurity</t>
        </is>
      </c>
      <c r="J8" s="2" t="inlineStr">
        <is>
          <t>Yes</t>
        </is>
      </c>
      <c r="K8" s="2" t="inlineStr">
        <is>
          <t>No</t>
        </is>
      </c>
      <c r="L8" s="2" t="inlineStr"/>
      <c r="M8" s="2" t="inlineStr"/>
      <c r="N8" s="2" t="inlineStr"/>
      <c r="O8" s="2" t="inlineStr">
        <is>
          <t>No</t>
        </is>
      </c>
      <c r="P8" s="2" t="inlineStr"/>
      <c r="Q8" s="2" t="inlineStr">
        <is>
          <t>No</t>
        </is>
      </c>
      <c r="R8" s="2" t="inlineStr"/>
      <c r="S8" s="2" t="inlineStr">
        <is>
          <t>Cover letter ready</t>
        </is>
      </c>
      <c r="T8" s="2" t="inlineStr">
        <is>
          <t>87</t>
        </is>
      </c>
      <c r="U8" s="2" t="inlineStr">
        <is>
          <t>High</t>
        </is>
      </c>
    </row>
    <row r="9">
      <c r="A9" s="2" t="inlineStr">
        <is>
          <t>APP-008</t>
        </is>
      </c>
      <c r="B9" s="2" t="inlineStr">
        <is>
          <t>CrowdStrike</t>
        </is>
      </c>
      <c r="C9" s="2" t="inlineStr">
        <is>
          <t>IT Service Desk Launch Intern</t>
        </is>
      </c>
      <c r="D9" s="2" t="inlineStr">
        <is>
          <t>https://www.crowdstrike.com/careers</t>
        </is>
      </c>
      <c r="E9" s="2" t="inlineStr">
        <is>
          <t>Direct</t>
        </is>
      </c>
      <c r="F9" s="2" t="inlineStr">
        <is>
          <t>Summer 2026</t>
        </is>
      </c>
      <c r="G9" s="2" t="inlineStr">
        <is>
          <t>Austin, TX</t>
        </is>
      </c>
      <c r="H9" s="3" t="inlineStr">
        <is>
          <t>Not Started</t>
        </is>
      </c>
      <c r="I9" s="2" t="inlineStr"/>
      <c r="J9" s="2" t="inlineStr">
        <is>
          <t>No</t>
        </is>
      </c>
      <c r="K9" s="2" t="inlineStr">
        <is>
          <t>No</t>
        </is>
      </c>
      <c r="L9" s="2" t="inlineStr"/>
      <c r="M9" s="2" t="inlineStr"/>
      <c r="N9" s="2" t="inlineStr"/>
      <c r="O9" s="2" t="inlineStr">
        <is>
          <t>No</t>
        </is>
      </c>
      <c r="P9" s="2" t="inlineStr"/>
      <c r="Q9" s="2" t="inlineStr">
        <is>
          <t>No</t>
        </is>
      </c>
      <c r="R9" s="2" t="inlineStr"/>
      <c r="S9" s="2" t="inlineStr">
        <is>
          <t>Top cybersecurity company</t>
        </is>
      </c>
      <c r="T9" s="2" t="inlineStr">
        <is>
          <t>83</t>
        </is>
      </c>
      <c r="U9" s="2" t="inlineStr">
        <is>
          <t>High</t>
        </is>
      </c>
    </row>
    <row r="10">
      <c r="A10" s="2" t="inlineStr">
        <is>
          <t>APP-009</t>
        </is>
      </c>
      <c r="B10" s="2" t="inlineStr">
        <is>
          <t>Atlassian</t>
        </is>
      </c>
      <c r="C10" s="2" t="inlineStr">
        <is>
          <t>Security Engineer Intern</t>
        </is>
      </c>
      <c r="D10" s="2" t="inlineStr">
        <is>
          <t>https://www.atlassian.com/company/careers</t>
        </is>
      </c>
      <c r="E10" s="2" t="inlineStr">
        <is>
          <t>Direct</t>
        </is>
      </c>
      <c r="F10" s="2" t="inlineStr">
        <is>
          <t>Summer 2026</t>
        </is>
      </c>
      <c r="G10" s="2" t="inlineStr">
        <is>
          <t>Seattle/Remote</t>
        </is>
      </c>
      <c r="H10" s="3" t="inlineStr">
        <is>
          <t>Not Started</t>
        </is>
      </c>
      <c r="I10" s="2" t="inlineStr"/>
      <c r="J10" s="2" t="inlineStr">
        <is>
          <t>No</t>
        </is>
      </c>
      <c r="K10" s="2" t="inlineStr">
        <is>
          <t>No</t>
        </is>
      </c>
      <c r="L10" s="2" t="inlineStr"/>
      <c r="M10" s="2" t="inlineStr"/>
      <c r="N10" s="2" t="inlineStr"/>
      <c r="O10" s="2" t="inlineStr">
        <is>
          <t>No</t>
        </is>
      </c>
      <c r="P10" s="2" t="inlineStr"/>
      <c r="Q10" s="2" t="inlineStr">
        <is>
          <t>No</t>
        </is>
      </c>
      <c r="R10" s="2" t="inlineStr"/>
      <c r="S10" s="2" t="inlineStr">
        <is>
          <t>$49-75/hr</t>
        </is>
      </c>
      <c r="T10" s="2" t="inlineStr">
        <is>
          <t>85</t>
        </is>
      </c>
      <c r="U10" s="2" t="inlineStr">
        <is>
          <t>High</t>
        </is>
      </c>
    </row>
    <row r="11">
      <c r="A11" s="2" t="inlineStr">
        <is>
          <t>APP-010</t>
        </is>
      </c>
      <c r="B11" s="2" t="inlineStr">
        <is>
          <t>CISA</t>
        </is>
      </c>
      <c r="C11" s="2" t="inlineStr">
        <is>
          <t>Cyber/IT Interns</t>
        </is>
      </c>
      <c r="D11" s="2" t="inlineStr">
        <is>
          <t>https://www.cisa.gov/careers</t>
        </is>
      </c>
      <c r="E11" s="2" t="inlineStr">
        <is>
          <t>USAJOBS</t>
        </is>
      </c>
      <c r="F11" s="2" t="inlineStr">
        <is>
          <t>Summer 2026</t>
        </is>
      </c>
      <c r="G11" s="2" t="inlineStr">
        <is>
          <t>Various</t>
        </is>
      </c>
      <c r="H11" s="3" t="inlineStr">
        <is>
          <t>Not Started</t>
        </is>
      </c>
      <c r="I11" s="2" t="inlineStr"/>
      <c r="J11" s="2" t="inlineStr">
        <is>
          <t>No</t>
        </is>
      </c>
      <c r="K11" s="2" t="inlineStr">
        <is>
          <t>No</t>
        </is>
      </c>
      <c r="L11" s="2" t="inlineStr"/>
      <c r="M11" s="2" t="inlineStr"/>
      <c r="N11" s="2" t="inlineStr"/>
      <c r="O11" s="2" t="inlineStr">
        <is>
          <t>No</t>
        </is>
      </c>
      <c r="P11" s="2" t="inlineStr"/>
      <c r="Q11" s="2" t="inlineStr">
        <is>
          <t>No</t>
        </is>
      </c>
      <c r="R11" s="2" t="inlineStr"/>
      <c r="S11" s="2" t="inlineStr">
        <is>
          <t>Government, paid</t>
        </is>
      </c>
      <c r="T11" s="2" t="inlineStr">
        <is>
          <t>80</t>
        </is>
      </c>
      <c r="U11" s="2" t="inlineStr">
        <is>
          <t>Medium</t>
        </is>
      </c>
    </row>
    <row r="12">
      <c r="A12" s="2" t="inlineStr">
        <is>
          <t>APP-011</t>
        </is>
      </c>
      <c r="B12" s="2" t="inlineStr">
        <is>
          <t>Dex (YC)</t>
        </is>
      </c>
      <c r="C12" s="2" t="inlineStr">
        <is>
          <t>AI/ML Engineer Intern</t>
        </is>
      </c>
      <c r="D12" s="2" t="inlineStr">
        <is>
          <t>https://www.ycombinator.com/companies/joindex</t>
        </is>
      </c>
      <c r="E12" s="2" t="inlineStr">
        <is>
          <t>Y Combinator</t>
        </is>
      </c>
      <c r="F12" s="2" t="inlineStr">
        <is>
          <t>Summer 2026</t>
        </is>
      </c>
      <c r="G12" s="2" t="inlineStr">
        <is>
          <t>San Francisco</t>
        </is>
      </c>
      <c r="H12" s="3" t="inlineStr">
        <is>
          <t>Not Started</t>
        </is>
      </c>
      <c r="I12" s="2" t="inlineStr"/>
      <c r="J12" s="2" t="inlineStr">
        <is>
          <t>No</t>
        </is>
      </c>
      <c r="K12" s="2" t="inlineStr">
        <is>
          <t>No</t>
        </is>
      </c>
      <c r="L12" s="2" t="inlineStr"/>
      <c r="M12" s="2" t="inlineStr"/>
      <c r="N12" s="2" t="inlineStr"/>
      <c r="O12" s="2" t="inlineStr">
        <is>
          <t>No</t>
        </is>
      </c>
      <c r="P12" s="2" t="inlineStr"/>
      <c r="Q12" s="2" t="inlineStr">
        <is>
          <t>No</t>
        </is>
      </c>
      <c r="R12" s="2" t="inlineStr"/>
      <c r="S12" s="2" t="inlineStr">
        <is>
          <t>RL, LLMs, AI frameworks</t>
        </is>
      </c>
      <c r="T12" s="2" t="inlineStr">
        <is>
          <t>86</t>
        </is>
      </c>
      <c r="U12" s="2" t="inlineStr">
        <is>
          <t>High</t>
        </is>
      </c>
    </row>
    <row r="13">
      <c r="A13" s="2" t="inlineStr">
        <is>
          <t>APP-012</t>
        </is>
      </c>
      <c r="B13" s="2" t="inlineStr">
        <is>
          <t>Mesh (YC)</t>
        </is>
      </c>
      <c r="C13" s="2" t="inlineStr">
        <is>
          <t>AI Engineer Intern</t>
        </is>
      </c>
      <c r="D13" s="2" t="inlineStr">
        <is>
          <t>https://www.ycombinator.com/companies/mesh-2</t>
        </is>
      </c>
      <c r="E13" s="2" t="inlineStr">
        <is>
          <t>Y Combinator</t>
        </is>
      </c>
      <c r="F13" s="2" t="inlineStr">
        <is>
          <t>Summer 2026</t>
        </is>
      </c>
      <c r="G13" s="2" t="inlineStr">
        <is>
          <t>San Francisco</t>
        </is>
      </c>
      <c r="H13" s="3" t="inlineStr">
        <is>
          <t>Not Started</t>
        </is>
      </c>
      <c r="I13" s="2" t="inlineStr"/>
      <c r="J13" s="2" t="inlineStr">
        <is>
          <t>No</t>
        </is>
      </c>
      <c r="K13" s="2" t="inlineStr">
        <is>
          <t>No</t>
        </is>
      </c>
      <c r="L13" s="2" t="inlineStr"/>
      <c r="M13" s="2" t="inlineStr"/>
      <c r="N13" s="2" t="inlineStr"/>
      <c r="O13" s="2" t="inlineStr">
        <is>
          <t>No</t>
        </is>
      </c>
      <c r="P13" s="2" t="inlineStr"/>
      <c r="Q13" s="2" t="inlineStr">
        <is>
          <t>No</t>
        </is>
      </c>
      <c r="R13" s="2" t="inlineStr"/>
      <c r="S13" s="2" t="inlineStr">
        <is>
          <t>AI-powered accounting agents</t>
        </is>
      </c>
      <c r="T13" s="2" t="inlineStr">
        <is>
          <t>84</t>
        </is>
      </c>
      <c r="U13" s="2" t="inlineStr">
        <is>
          <t>High</t>
        </is>
      </c>
    </row>
    <row r="14">
      <c r="A14" s="2" t="inlineStr">
        <is>
          <t>APP-013</t>
        </is>
      </c>
      <c r="B14" s="2" t="inlineStr">
        <is>
          <t>14 AI (YC)</t>
        </is>
      </c>
      <c r="C14" s="2" t="inlineStr">
        <is>
          <t>Full-Stack Engineering Intern</t>
        </is>
      </c>
      <c r="D14" s="2" t="inlineStr">
        <is>
          <t>https://www.ycombinator.com/companies/14-ai</t>
        </is>
      </c>
      <c r="E14" s="2" t="inlineStr">
        <is>
          <t>Y Combinator</t>
        </is>
      </c>
      <c r="F14" s="2" t="inlineStr">
        <is>
          <t>Summer 2026</t>
        </is>
      </c>
      <c r="G14" s="2" t="inlineStr">
        <is>
          <t>Remote</t>
        </is>
      </c>
      <c r="H14" s="3" t="inlineStr">
        <is>
          <t>Not Started</t>
        </is>
      </c>
      <c r="I14" s="2" t="inlineStr"/>
      <c r="J14" s="2" t="inlineStr">
        <is>
          <t>No</t>
        </is>
      </c>
      <c r="K14" s="2" t="inlineStr">
        <is>
          <t>No</t>
        </is>
      </c>
      <c r="L14" s="2" t="inlineStr"/>
      <c r="M14" s="2" t="inlineStr"/>
      <c r="N14" s="2" t="inlineStr"/>
      <c r="O14" s="2" t="inlineStr">
        <is>
          <t>No</t>
        </is>
      </c>
      <c r="P14" s="2" t="inlineStr"/>
      <c r="Q14" s="2" t="inlineStr">
        <is>
          <t>No</t>
        </is>
      </c>
      <c r="R14" s="2" t="inlineStr"/>
      <c r="S14" s="2" t="inlineStr">
        <is>
          <t>AI startup</t>
        </is>
      </c>
      <c r="T14" s="2" t="inlineStr">
        <is>
          <t>82</t>
        </is>
      </c>
      <c r="U14" s="2" t="inlineStr">
        <is>
          <t>High</t>
        </is>
      </c>
    </row>
    <row r="15">
      <c r="A15" s="2" t="inlineStr">
        <is>
          <t>APP-014</t>
        </is>
      </c>
      <c r="B15" s="2" t="inlineStr">
        <is>
          <t>Bloom (YC)</t>
        </is>
      </c>
      <c r="C15" s="2" t="inlineStr">
        <is>
          <t>AI/Full-Stack Intern</t>
        </is>
      </c>
      <c r="D15" s="2" t="inlineStr">
        <is>
          <t>https://www.ycombinator.com/companies/bloom-4</t>
        </is>
      </c>
      <c r="E15" s="2" t="inlineStr">
        <is>
          <t>Y Combinator</t>
        </is>
      </c>
      <c r="F15" s="2" t="inlineStr">
        <is>
          <t>Summer 2026</t>
        </is>
      </c>
      <c r="G15" s="2" t="inlineStr">
        <is>
          <t>Zurich</t>
        </is>
      </c>
      <c r="H15" s="3" t="inlineStr">
        <is>
          <t>Not Started</t>
        </is>
      </c>
      <c r="I15" s="2" t="inlineStr"/>
      <c r="J15" s="2" t="inlineStr">
        <is>
          <t>No</t>
        </is>
      </c>
      <c r="K15" s="2" t="inlineStr">
        <is>
          <t>No</t>
        </is>
      </c>
      <c r="L15" s="2" t="inlineStr"/>
      <c r="M15" s="2" t="inlineStr"/>
      <c r="N15" s="2" t="inlineStr"/>
      <c r="O15" s="2" t="inlineStr">
        <is>
          <t>No</t>
        </is>
      </c>
      <c r="P15" s="2" t="inlineStr"/>
      <c r="Q15" s="2" t="inlineStr">
        <is>
          <t>No</t>
        </is>
      </c>
      <c r="R15" s="2" t="inlineStr"/>
      <c r="S15" s="2" t="inlineStr">
        <is>
          <t>$6-10K/month</t>
        </is>
      </c>
      <c r="T15" s="2" t="inlineStr">
        <is>
          <t>78</t>
        </is>
      </c>
      <c r="U15" s="2" t="inlineStr">
        <is>
          <t>Medium</t>
        </is>
      </c>
    </row>
    <row r="16">
      <c r="A16" s="2" t="inlineStr">
        <is>
          <t>APP-015</t>
        </is>
      </c>
      <c r="B16" s="2" t="inlineStr">
        <is>
          <t>Cohere</t>
        </is>
      </c>
      <c r="C16" s="2" t="inlineStr">
        <is>
          <t>Software Engineering</t>
        </is>
      </c>
      <c r="D16" s="2" t="inlineStr">
        <is>
          <t>https://cohere.com/careers</t>
        </is>
      </c>
      <c r="E16" s="2" t="inlineStr">
        <is>
          <t>Direct</t>
        </is>
      </c>
      <c r="F16" s="2" t="inlineStr">
        <is>
          <t>Summer 2026</t>
        </is>
      </c>
      <c r="G16" s="2" t="inlineStr">
        <is>
          <t>Remote</t>
        </is>
      </c>
      <c r="H16" s="3" t="inlineStr">
        <is>
          <t>Not Started</t>
        </is>
      </c>
      <c r="I16" s="2" t="inlineStr"/>
      <c r="J16" s="2" t="inlineStr">
        <is>
          <t>No</t>
        </is>
      </c>
      <c r="K16" s="2" t="inlineStr">
        <is>
          <t>No</t>
        </is>
      </c>
      <c r="L16" s="2" t="inlineStr"/>
      <c r="M16" s="2" t="inlineStr"/>
      <c r="N16" s="2" t="inlineStr"/>
      <c r="O16" s="2" t="inlineStr">
        <is>
          <t>No</t>
        </is>
      </c>
      <c r="P16" s="2" t="inlineStr"/>
      <c r="Q16" s="2" t="inlineStr">
        <is>
          <t>No</t>
        </is>
      </c>
      <c r="R16" s="2" t="inlineStr"/>
      <c r="S16" s="2" t="inlineStr">
        <is>
          <t>AI company</t>
        </is>
      </c>
      <c r="T16" s="2" t="inlineStr">
        <is>
          <t>80</t>
        </is>
      </c>
      <c r="U16" s="2" t="inlineStr">
        <is>
          <t>Medium</t>
        </is>
      </c>
    </row>
    <row r="17">
      <c r="A17" t="inlineStr">
        <is>
          <t>APP-016</t>
        </is>
      </c>
      <c r="B17" t="inlineStr">
        <is>
          <t>Intel</t>
        </is>
      </c>
      <c r="C17" t="inlineStr">
        <is>
          <t>Graduate Software Engineering Intern</t>
        </is>
      </c>
      <c r="D17" t="inlineStr">
        <is>
          <t>https://jobs.intel.com</t>
        </is>
      </c>
      <c r="E17" t="inlineStr">
        <is>
          <t>Direct</t>
        </is>
      </c>
      <c r="F17" t="inlineStr">
        <is>
          <t>Summer 2026</t>
        </is>
      </c>
      <c r="G17" t="inlineStr">
        <is>
          <t>Oregon</t>
        </is>
      </c>
      <c r="H17" t="inlineStr">
        <is>
          <t>Not Started</t>
        </is>
      </c>
      <c r="I17" s="9" t="inlineStr">
        <is>
          <t>Passed</t>
        </is>
      </c>
      <c r="J17" t="inlineStr"/>
      <c r="K17" t="inlineStr">
        <is>
          <t>No</t>
        </is>
      </c>
      <c r="L17" t="inlineStr">
        <is>
          <t>No</t>
        </is>
      </c>
      <c r="M17" t="inlineStr"/>
      <c r="N17" t="inlineStr"/>
      <c r="O17" t="inlineStr">
        <is>
          <t>No</t>
        </is>
      </c>
      <c r="P17" t="inlineStr"/>
      <c r="Q17" t="inlineStr">
        <is>
          <t>No</t>
        </is>
      </c>
      <c r="R17" t="inlineStr"/>
      <c r="S17" t="inlineStr">
        <is>
          <t>Top tech company - 🔥 HIGH PRIORITY</t>
        </is>
      </c>
      <c r="T17" t="inlineStr">
        <is>
          <t>88</t>
        </is>
      </c>
      <c r="U17" t="inlineStr">
        <is>
          <t>High</t>
        </is>
      </c>
      <c r="V17" t="inlineStr"/>
      <c r="W17" t="inlineStr"/>
    </row>
    <row r="18">
      <c r="A18" t="inlineStr">
        <is>
          <t>APP-017</t>
        </is>
      </c>
      <c r="B18" t="inlineStr">
        <is>
          <t>Walmart</t>
        </is>
      </c>
      <c r="C18" t="inlineStr">
        <is>
          <t>Software Engineering II Intern</t>
        </is>
      </c>
      <c r="D18" t="inlineStr">
        <is>
          <t>https://careers.walmart.com</t>
        </is>
      </c>
      <c r="E18" t="inlineStr">
        <is>
          <t>Direct</t>
        </is>
      </c>
      <c r="F18" t="inlineStr">
        <is>
          <t>Summer 2026</t>
        </is>
      </c>
      <c r="G18" t="inlineStr">
        <is>
          <t>Sunnyvale, CA</t>
        </is>
      </c>
      <c r="H18" t="inlineStr">
        <is>
          <t>Not Started</t>
        </is>
      </c>
      <c r="I18" s="9" t="inlineStr">
        <is>
          <t>Passed</t>
        </is>
      </c>
      <c r="J18" t="inlineStr"/>
      <c r="K18" t="inlineStr">
        <is>
          <t>No</t>
        </is>
      </c>
      <c r="L18" t="inlineStr">
        <is>
          <t>No</t>
        </is>
      </c>
      <c r="M18" t="inlineStr"/>
      <c r="N18" t="inlineStr"/>
      <c r="O18" t="inlineStr">
        <is>
          <t>No</t>
        </is>
      </c>
      <c r="P18" t="inlineStr"/>
      <c r="Q18" t="inlineStr">
        <is>
          <t>No</t>
        </is>
      </c>
      <c r="R18" t="inlineStr"/>
      <c r="S18" t="inlineStr">
        <is>
          <t>Fortune 1 company - 🔥 HIGH PRIORITY</t>
        </is>
      </c>
      <c r="T18" t="inlineStr">
        <is>
          <t>87</t>
        </is>
      </c>
      <c r="U18" t="inlineStr">
        <is>
          <t>High</t>
        </is>
      </c>
      <c r="V18" t="inlineStr"/>
      <c r="W18" t="inlineStr"/>
    </row>
    <row r="19">
      <c r="A19" t="inlineStr">
        <is>
          <t>APP-018</t>
        </is>
      </c>
      <c r="B19" t="inlineStr">
        <is>
          <t>T-Mobile</t>
        </is>
      </c>
      <c r="C19" t="inlineStr">
        <is>
          <t>AI Engineering Intern</t>
        </is>
      </c>
      <c r="D19" t="inlineStr">
        <is>
          <t>https://careers.t-mobile.com</t>
        </is>
      </c>
      <c r="E19" t="inlineStr">
        <is>
          <t>Direct</t>
        </is>
      </c>
      <c r="F19" t="inlineStr">
        <is>
          <t>Summer 2026</t>
        </is>
      </c>
      <c r="G19" t="inlineStr">
        <is>
          <t>Washington</t>
        </is>
      </c>
      <c r="H19" t="inlineStr">
        <is>
          <t>Not Started</t>
        </is>
      </c>
      <c r="I19" s="9" t="inlineStr">
        <is>
          <t>Passed</t>
        </is>
      </c>
      <c r="J19" t="inlineStr"/>
      <c r="K19" t="inlineStr">
        <is>
          <t>No</t>
        </is>
      </c>
      <c r="L19" t="inlineStr">
        <is>
          <t>No</t>
        </is>
      </c>
      <c r="M19" t="inlineStr"/>
      <c r="N19" t="inlineStr"/>
      <c r="O19" t="inlineStr">
        <is>
          <t>No</t>
        </is>
      </c>
      <c r="P19" t="inlineStr"/>
      <c r="Q19" t="inlineStr">
        <is>
          <t>No</t>
        </is>
      </c>
      <c r="R19" t="inlineStr"/>
      <c r="S19" t="inlineStr">
        <is>
          <t>Telecom + AI - 🔥 HIGH PRIORITY</t>
        </is>
      </c>
      <c r="T19" t="inlineStr">
        <is>
          <t>86</t>
        </is>
      </c>
      <c r="U19" t="inlineStr">
        <is>
          <t>High</t>
        </is>
      </c>
      <c r="V19" t="inlineStr"/>
      <c r="W19" t="inlineStr"/>
    </row>
    <row r="20">
      <c r="A20" t="inlineStr">
        <is>
          <t>APP-019</t>
        </is>
      </c>
      <c r="B20" t="inlineStr">
        <is>
          <t>Zoox</t>
        </is>
      </c>
      <c r="C20" t="inlineStr">
        <is>
          <t>AI Applications Development Intern</t>
        </is>
      </c>
      <c r="D20" t="inlineStr">
        <is>
          <t>https://zoox.com/careers</t>
        </is>
      </c>
      <c r="E20" t="inlineStr">
        <is>
          <t>Direct</t>
        </is>
      </c>
      <c r="F20" t="inlineStr">
        <is>
          <t>Summer 2026</t>
        </is>
      </c>
      <c r="G20" t="inlineStr">
        <is>
          <t>Foster City, CA</t>
        </is>
      </c>
      <c r="H20" t="inlineStr">
        <is>
          <t>Not Started</t>
        </is>
      </c>
      <c r="I20" s="9" t="inlineStr">
        <is>
          <t>Passed</t>
        </is>
      </c>
      <c r="J20" t="inlineStr"/>
      <c r="K20" t="inlineStr">
        <is>
          <t>No</t>
        </is>
      </c>
      <c r="L20" t="inlineStr">
        <is>
          <t>No</t>
        </is>
      </c>
      <c r="M20" t="inlineStr"/>
      <c r="N20" t="inlineStr"/>
      <c r="O20" t="inlineStr">
        <is>
          <t>No</t>
        </is>
      </c>
      <c r="P20" t="inlineStr"/>
      <c r="Q20" t="inlineStr">
        <is>
          <t>No</t>
        </is>
      </c>
      <c r="R20" t="inlineStr"/>
      <c r="S20" t="inlineStr">
        <is>
          <t>Autonomous vehicles (Amazon) - 🔥 HIGH PRIORITY</t>
        </is>
      </c>
      <c r="T20" t="inlineStr">
        <is>
          <t>89</t>
        </is>
      </c>
      <c r="U20" t="inlineStr">
        <is>
          <t>High</t>
        </is>
      </c>
      <c r="V20" t="inlineStr"/>
      <c r="W20" t="inlineStr"/>
    </row>
    <row r="21">
      <c r="A21" t="inlineStr">
        <is>
          <t>APP-020</t>
        </is>
      </c>
      <c r="B21" t="inlineStr">
        <is>
          <t>Toyota Research Institute</t>
        </is>
      </c>
      <c r="C21" t="inlineStr">
        <is>
          <t>Human-Centered AI Intern</t>
        </is>
      </c>
      <c r="D21" t="inlineStr">
        <is>
          <t>https://tri.global/careers</t>
        </is>
      </c>
      <c r="E21" t="inlineStr">
        <is>
          <t>Direct</t>
        </is>
      </c>
      <c r="F21" t="inlineStr">
        <is>
          <t>Summer 2026</t>
        </is>
      </c>
      <c r="G21" t="inlineStr">
        <is>
          <t>Los Altos, CA</t>
        </is>
      </c>
      <c r="H21" t="inlineStr">
        <is>
          <t>Not Started</t>
        </is>
      </c>
      <c r="I21" s="9" t="inlineStr">
        <is>
          <t>Passed</t>
        </is>
      </c>
      <c r="J21" t="inlineStr"/>
      <c r="K21" t="inlineStr">
        <is>
          <t>No</t>
        </is>
      </c>
      <c r="L21" t="inlineStr">
        <is>
          <t>No</t>
        </is>
      </c>
      <c r="M21" t="inlineStr"/>
      <c r="N21" t="inlineStr"/>
      <c r="O21" t="inlineStr">
        <is>
          <t>No</t>
        </is>
      </c>
      <c r="P21" t="inlineStr"/>
      <c r="Q21" t="inlineStr">
        <is>
          <t>No</t>
        </is>
      </c>
      <c r="R21" t="inlineStr"/>
      <c r="S21" t="inlineStr">
        <is>
          <t>Research + AI - 🔥 HIGH PRIORITY</t>
        </is>
      </c>
      <c r="T21" t="inlineStr">
        <is>
          <t>88</t>
        </is>
      </c>
      <c r="U21" t="inlineStr">
        <is>
          <t>High</t>
        </is>
      </c>
      <c r="V21" t="inlineStr"/>
      <c r="W21" t="inlineStr"/>
    </row>
    <row r="22">
      <c r="A22" t="inlineStr">
        <is>
          <t>APP-021</t>
        </is>
      </c>
      <c r="B22" t="inlineStr">
        <is>
          <t>Visa</t>
        </is>
      </c>
      <c r="C22" t="inlineStr">
        <is>
          <t>Cybersecurity Applied Scientist Intern</t>
        </is>
      </c>
      <c r="D22" t="inlineStr">
        <is>
          <t>https://usa.visa.com/careers</t>
        </is>
      </c>
      <c r="E22" t="inlineStr">
        <is>
          <t>Direct</t>
        </is>
      </c>
      <c r="F22" t="inlineStr">
        <is>
          <t>Summer 2026</t>
        </is>
      </c>
      <c r="G22" t="inlineStr">
        <is>
          <t>Ashburn, VA</t>
        </is>
      </c>
      <c r="H22" t="inlineStr">
        <is>
          <t>Not Started</t>
        </is>
      </c>
      <c r="I22" s="9" t="inlineStr">
        <is>
          <t>Passed</t>
        </is>
      </c>
      <c r="J22" t="inlineStr"/>
      <c r="K22" t="inlineStr">
        <is>
          <t>No</t>
        </is>
      </c>
      <c r="L22" t="inlineStr">
        <is>
          <t>No</t>
        </is>
      </c>
      <c r="M22" t="inlineStr"/>
      <c r="N22" t="inlineStr"/>
      <c r="O22" t="inlineStr">
        <is>
          <t>No</t>
        </is>
      </c>
      <c r="P22" t="inlineStr"/>
      <c r="Q22" t="inlineStr">
        <is>
          <t>No</t>
        </is>
      </c>
      <c r="R22" t="inlineStr"/>
      <c r="S22" t="inlineStr">
        <is>
          <t>Cyber + AI - 🔥 HIGH PRIORITY</t>
        </is>
      </c>
      <c r="T22" t="inlineStr">
        <is>
          <t>90</t>
        </is>
      </c>
      <c r="U22" t="inlineStr">
        <is>
          <t>High</t>
        </is>
      </c>
      <c r="V22" t="inlineStr"/>
      <c r="W22" t="inlineStr"/>
    </row>
    <row r="23">
      <c r="A23" t="inlineStr">
        <is>
          <t>APP-022</t>
        </is>
      </c>
      <c r="B23" t="inlineStr">
        <is>
          <t>Samsung SDS</t>
        </is>
      </c>
      <c r="C23" t="inlineStr">
        <is>
          <t>AI Platform Lab Research Intern</t>
        </is>
      </c>
      <c r="D23" t="inlineStr">
        <is>
          <t>https://www.samsungsds.com/careers</t>
        </is>
      </c>
      <c r="E23" t="inlineStr">
        <is>
          <t>Direct</t>
        </is>
      </c>
      <c r="F23" t="inlineStr">
        <is>
          <t>Summer 2026</t>
        </is>
      </c>
      <c r="G23" t="inlineStr">
        <is>
          <t>Mountain View, CA</t>
        </is>
      </c>
      <c r="H23" t="inlineStr">
        <is>
          <t>Not Started</t>
        </is>
      </c>
      <c r="I23" s="9" t="inlineStr">
        <is>
          <t>Passed</t>
        </is>
      </c>
      <c r="J23" t="inlineStr"/>
      <c r="K23" t="inlineStr">
        <is>
          <t>No</t>
        </is>
      </c>
      <c r="L23" t="inlineStr">
        <is>
          <t>No</t>
        </is>
      </c>
      <c r="M23" t="inlineStr"/>
      <c r="N23" t="inlineStr"/>
      <c r="O23" t="inlineStr">
        <is>
          <t>No</t>
        </is>
      </c>
      <c r="P23" t="inlineStr"/>
      <c r="Q23" t="inlineStr">
        <is>
          <t>No</t>
        </is>
      </c>
      <c r="R23" t="inlineStr"/>
      <c r="S23" t="inlineStr">
        <is>
          <t>Samsung AI research - 🔥 HIGH PRIORITY</t>
        </is>
      </c>
      <c r="T23" t="inlineStr">
        <is>
          <t>87</t>
        </is>
      </c>
      <c r="U23" t="inlineStr">
        <is>
          <t>High</t>
        </is>
      </c>
      <c r="V23" t="inlineStr"/>
      <c r="W23" t="inlineStr"/>
    </row>
    <row r="24">
      <c r="A24" t="inlineStr">
        <is>
          <t>APP-023</t>
        </is>
      </c>
      <c r="B24" t="inlineStr">
        <is>
          <t>Northrop Grumman</t>
        </is>
      </c>
      <c r="C24" t="inlineStr">
        <is>
          <t>AI Engineer Intern</t>
        </is>
      </c>
      <c r="D24" t="inlineStr">
        <is>
          <t>https://www.northropgrumman.com/careers</t>
        </is>
      </c>
      <c r="E24" t="inlineStr">
        <is>
          <t>Direct</t>
        </is>
      </c>
      <c r="F24" t="inlineStr">
        <is>
          <t>Summer 2026</t>
        </is>
      </c>
      <c r="G24" t="inlineStr">
        <is>
          <t>Remote</t>
        </is>
      </c>
      <c r="H24" t="inlineStr">
        <is>
          <t>Not Started</t>
        </is>
      </c>
      <c r="I24" s="9" t="inlineStr">
        <is>
          <t>Passed</t>
        </is>
      </c>
      <c r="J24" t="inlineStr"/>
      <c r="K24" t="inlineStr">
        <is>
          <t>No</t>
        </is>
      </c>
      <c r="L24" t="inlineStr">
        <is>
          <t>No</t>
        </is>
      </c>
      <c r="M24" t="inlineStr"/>
      <c r="N24" t="inlineStr"/>
      <c r="O24" t="inlineStr">
        <is>
          <t>No</t>
        </is>
      </c>
      <c r="P24" t="inlineStr"/>
      <c r="Q24" t="inlineStr">
        <is>
          <t>No</t>
        </is>
      </c>
      <c r="R24" t="inlineStr"/>
      <c r="S24" t="inlineStr">
        <is>
          <t>Defense + AI - 🔥 HIGH PRIORITY</t>
        </is>
      </c>
      <c r="T24" t="inlineStr">
        <is>
          <t>85</t>
        </is>
      </c>
      <c r="U24" t="inlineStr">
        <is>
          <t>High</t>
        </is>
      </c>
      <c r="V24" t="inlineStr"/>
      <c r="W24" t="inlineStr"/>
    </row>
    <row r="25">
      <c r="A25" t="inlineStr">
        <is>
          <t>APP-024</t>
        </is>
      </c>
      <c r="B25" t="inlineStr">
        <is>
          <t>insitro</t>
        </is>
      </c>
      <c r="C25" t="inlineStr">
        <is>
          <t>Machine Learning Intern</t>
        </is>
      </c>
      <c r="D25" t="inlineStr">
        <is>
          <t>https://www.insitro.com/careers</t>
        </is>
      </c>
      <c r="E25" t="inlineStr">
        <is>
          <t>Direct</t>
        </is>
      </c>
      <c r="F25" t="inlineStr">
        <is>
          <t>Summer 2026</t>
        </is>
      </c>
      <c r="G25" t="inlineStr">
        <is>
          <t>South San Francisco, CA</t>
        </is>
      </c>
      <c r="H25" t="inlineStr">
        <is>
          <t>Not Started</t>
        </is>
      </c>
      <c r="I25" s="9" t="inlineStr">
        <is>
          <t>Passed</t>
        </is>
      </c>
      <c r="J25" t="inlineStr"/>
      <c r="K25" t="inlineStr">
        <is>
          <t>No</t>
        </is>
      </c>
      <c r="L25" t="inlineStr">
        <is>
          <t>No</t>
        </is>
      </c>
      <c r="M25" t="inlineStr"/>
      <c r="N25" t="inlineStr"/>
      <c r="O25" t="inlineStr">
        <is>
          <t>No</t>
        </is>
      </c>
      <c r="P25" t="inlineStr"/>
      <c r="Q25" t="inlineStr">
        <is>
          <t>No</t>
        </is>
      </c>
      <c r="R25" t="inlineStr"/>
      <c r="S25" t="inlineStr">
        <is>
          <t>Biotech + AI - 🔥 HIGH PRIORITY</t>
        </is>
      </c>
      <c r="T25" t="inlineStr">
        <is>
          <t>88</t>
        </is>
      </c>
      <c r="U25" t="inlineStr">
        <is>
          <t>High</t>
        </is>
      </c>
      <c r="V25" t="inlineStr"/>
      <c r="W25" t="inlineStr"/>
    </row>
    <row r="26">
      <c r="A26" t="inlineStr">
        <is>
          <t>APP-025</t>
        </is>
      </c>
      <c r="B26" t="inlineStr">
        <is>
          <t>Sigma Computing</t>
        </is>
      </c>
      <c r="C26" t="inlineStr">
        <is>
          <t>Software Engineering Intern</t>
        </is>
      </c>
      <c r="D26" t="inlineStr">
        <is>
          <t>https://www.sigmacomputing.com/careers</t>
        </is>
      </c>
      <c r="E26" t="inlineStr">
        <is>
          <t>Direct</t>
        </is>
      </c>
      <c r="F26" t="inlineStr">
        <is>
          <t>Summer 2026</t>
        </is>
      </c>
      <c r="G26" t="inlineStr">
        <is>
          <t>San Francisco, CA</t>
        </is>
      </c>
      <c r="H26" t="inlineStr">
        <is>
          <t>Not Started</t>
        </is>
      </c>
      <c r="I26" s="9" t="inlineStr">
        <is>
          <t>Passed</t>
        </is>
      </c>
      <c r="J26" t="inlineStr"/>
      <c r="K26" t="inlineStr">
        <is>
          <t>No</t>
        </is>
      </c>
      <c r="L26" t="inlineStr">
        <is>
          <t>No</t>
        </is>
      </c>
      <c r="M26" t="inlineStr"/>
      <c r="N26" t="inlineStr"/>
      <c r="O26" t="inlineStr">
        <is>
          <t>No</t>
        </is>
      </c>
      <c r="P26" t="inlineStr"/>
      <c r="Q26" t="inlineStr">
        <is>
          <t>No</t>
        </is>
      </c>
      <c r="R26" t="inlineStr"/>
      <c r="S26" t="inlineStr">
        <is>
          <t>AI/Analytics - 🔥 HIGH PRIORITY</t>
        </is>
      </c>
      <c r="T26" t="inlineStr">
        <is>
          <t>85</t>
        </is>
      </c>
      <c r="U26" t="inlineStr">
        <is>
          <t>High</t>
        </is>
      </c>
      <c r="V26" t="inlineStr"/>
      <c r="W26" t="inlineStr"/>
    </row>
    <row r="27">
      <c r="A27" t="inlineStr">
        <is>
          <t>APP-026</t>
        </is>
      </c>
      <c r="B27" t="inlineStr">
        <is>
          <t>Applied Materials</t>
        </is>
      </c>
      <c r="C27" t="inlineStr">
        <is>
          <t>Software Engineer Intern</t>
        </is>
      </c>
      <c r="D27" t="inlineStr">
        <is>
          <t>https://www.appliedmaterials.com/careers</t>
        </is>
      </c>
      <c r="E27" t="inlineStr">
        <is>
          <t>Direct</t>
        </is>
      </c>
      <c r="F27" t="inlineStr">
        <is>
          <t>Summer 2026</t>
        </is>
      </c>
      <c r="G27" t="inlineStr">
        <is>
          <t>Santa Clara, CA</t>
        </is>
      </c>
      <c r="H27" t="inlineStr">
        <is>
          <t>Not Started</t>
        </is>
      </c>
      <c r="I27" s="9" t="inlineStr">
        <is>
          <t>Passed</t>
        </is>
      </c>
      <c r="J27" t="inlineStr"/>
      <c r="K27" t="inlineStr">
        <is>
          <t>No</t>
        </is>
      </c>
      <c r="L27" t="inlineStr">
        <is>
          <t>No</t>
        </is>
      </c>
      <c r="M27" t="inlineStr"/>
      <c r="N27" t="inlineStr"/>
      <c r="O27" t="inlineStr">
        <is>
          <t>No</t>
        </is>
      </c>
      <c r="P27" t="inlineStr"/>
      <c r="Q27" t="inlineStr">
        <is>
          <t>No</t>
        </is>
      </c>
      <c r="R27" t="inlineStr"/>
      <c r="S27" t="inlineStr">
        <is>
          <t>Semiconductor leader - 🔥 HIGH PRIORITY</t>
        </is>
      </c>
      <c r="T27" t="inlineStr">
        <is>
          <t>84</t>
        </is>
      </c>
      <c r="U27" t="inlineStr">
        <is>
          <t>High</t>
        </is>
      </c>
      <c r="V27" t="inlineStr"/>
      <c r="W27" t="inlineStr"/>
    </row>
    <row r="28">
      <c r="A28" t="inlineStr">
        <is>
          <t>APP-027</t>
        </is>
      </c>
      <c r="B28" t="inlineStr">
        <is>
          <t>Okta</t>
        </is>
      </c>
      <c r="C28" t="inlineStr">
        <is>
          <t>Data Analyst Intern</t>
        </is>
      </c>
      <c r="D28" t="inlineStr">
        <is>
          <t>https://www.okta.com/careers</t>
        </is>
      </c>
      <c r="E28" t="inlineStr">
        <is>
          <t>Direct</t>
        </is>
      </c>
      <c r="F28" t="inlineStr">
        <is>
          <t>Summer 2026</t>
        </is>
      </c>
      <c r="G28" t="inlineStr">
        <is>
          <t>San Francisco, CA</t>
        </is>
      </c>
      <c r="H28" t="inlineStr">
        <is>
          <t>Not Started</t>
        </is>
      </c>
      <c r="I28" s="9" t="inlineStr">
        <is>
          <t>Passed</t>
        </is>
      </c>
      <c r="J28" t="inlineStr"/>
      <c r="K28" t="inlineStr">
        <is>
          <t>No</t>
        </is>
      </c>
      <c r="L28" t="inlineStr">
        <is>
          <t>No</t>
        </is>
      </c>
      <c r="M28" t="inlineStr"/>
      <c r="N28" t="inlineStr"/>
      <c r="O28" t="inlineStr">
        <is>
          <t>No</t>
        </is>
      </c>
      <c r="P28" t="inlineStr"/>
      <c r="Q28" t="inlineStr">
        <is>
          <t>No</t>
        </is>
      </c>
      <c r="R28" t="inlineStr"/>
      <c r="S28" t="inlineStr">
        <is>
          <t>Identity/Security - 🔥 HIGH PRIORITY</t>
        </is>
      </c>
      <c r="T28" t="inlineStr">
        <is>
          <t>83</t>
        </is>
      </c>
      <c r="U28" t="inlineStr">
        <is>
          <t>High</t>
        </is>
      </c>
      <c r="V28" t="inlineStr"/>
      <c r="W28" t="inlineStr"/>
    </row>
    <row r="29">
      <c r="A29" t="inlineStr">
        <is>
          <t>APP-028</t>
        </is>
      </c>
      <c r="B29" t="inlineStr">
        <is>
          <t>Scopely</t>
        </is>
      </c>
      <c r="C29" t="inlineStr">
        <is>
          <t>Software Engineering Intern</t>
        </is>
      </c>
      <c r="D29" t="inlineStr">
        <is>
          <t>https://www.scopely.com/careers</t>
        </is>
      </c>
      <c r="E29" t="inlineStr">
        <is>
          <t>Direct</t>
        </is>
      </c>
      <c r="F29" t="inlineStr">
        <is>
          <t>Summer 2026</t>
        </is>
      </c>
      <c r="G29" t="inlineStr">
        <is>
          <t>Bellevue, WA / San Francisco, CA</t>
        </is>
      </c>
      <c r="H29" t="inlineStr">
        <is>
          <t>Not Started</t>
        </is>
      </c>
      <c r="I29" s="9" t="inlineStr">
        <is>
          <t>Passed</t>
        </is>
      </c>
      <c r="J29" t="inlineStr"/>
      <c r="K29" t="inlineStr">
        <is>
          <t>No</t>
        </is>
      </c>
      <c r="L29" t="inlineStr">
        <is>
          <t>No</t>
        </is>
      </c>
      <c r="M29" t="inlineStr"/>
      <c r="N29" t="inlineStr"/>
      <c r="O29" t="inlineStr">
        <is>
          <t>No</t>
        </is>
      </c>
      <c r="P29" t="inlineStr"/>
      <c r="Q29" t="inlineStr">
        <is>
          <t>No</t>
        </is>
      </c>
      <c r="R29" t="inlineStr"/>
      <c r="S29" t="inlineStr">
        <is>
          <t>Gaming (Pokémon GO) - 🔥 HIGH PRIORITY</t>
        </is>
      </c>
      <c r="T29" t="inlineStr">
        <is>
          <t>84</t>
        </is>
      </c>
      <c r="U29" t="inlineStr">
        <is>
          <t>High</t>
        </is>
      </c>
      <c r="V29" t="inlineStr"/>
      <c r="W29" t="inlineStr"/>
    </row>
    <row r="30">
      <c r="A30" t="inlineStr">
        <is>
          <t>APP-029</t>
        </is>
      </c>
      <c r="B30" t="inlineStr">
        <is>
          <t>Raytheon</t>
        </is>
      </c>
      <c r="C30" t="inlineStr">
        <is>
          <t>Software Engineering Intern</t>
        </is>
      </c>
      <c r="D30" t="inlineStr">
        <is>
          <t>https://careers.raytheon.com</t>
        </is>
      </c>
      <c r="E30" t="inlineStr">
        <is>
          <t>Direct</t>
        </is>
      </c>
      <c r="F30" t="inlineStr">
        <is>
          <t>Summer 2026</t>
        </is>
      </c>
      <c r="G30" t="inlineStr">
        <is>
          <t>Various</t>
        </is>
      </c>
      <c r="H30" t="inlineStr">
        <is>
          <t>Not Started</t>
        </is>
      </c>
      <c r="I30" s="9" t="inlineStr">
        <is>
          <t>Passed</t>
        </is>
      </c>
      <c r="J30" t="inlineStr"/>
      <c r="K30" t="inlineStr">
        <is>
          <t>No</t>
        </is>
      </c>
      <c r="L30" t="inlineStr">
        <is>
          <t>No</t>
        </is>
      </c>
      <c r="M30" t="inlineStr"/>
      <c r="N30" t="inlineStr"/>
      <c r="O30" t="inlineStr">
        <is>
          <t>No</t>
        </is>
      </c>
      <c r="P30" t="inlineStr"/>
      <c r="Q30" t="inlineStr">
        <is>
          <t>No</t>
        </is>
      </c>
      <c r="R30" t="inlineStr"/>
      <c r="S30" t="inlineStr">
        <is>
          <t>Defense contractor</t>
        </is>
      </c>
      <c r="T30" t="inlineStr">
        <is>
          <t>82</t>
        </is>
      </c>
      <c r="U30" t="inlineStr">
        <is>
          <t>High</t>
        </is>
      </c>
      <c r="V30" t="inlineStr"/>
      <c r="W30" t="inlineStr"/>
    </row>
    <row r="31">
      <c r="A31" t="inlineStr">
        <is>
          <t>APP-030</t>
        </is>
      </c>
      <c r="B31" t="inlineStr">
        <is>
          <t>Motorola Solutions</t>
        </is>
      </c>
      <c r="C31" t="inlineStr">
        <is>
          <t>Software Test Engineer Intern</t>
        </is>
      </c>
      <c r="D31" t="inlineStr">
        <is>
          <t>https://www.motorolasolutions.com/careers</t>
        </is>
      </c>
      <c r="E31" t="inlineStr">
        <is>
          <t>Direct</t>
        </is>
      </c>
      <c r="F31" t="inlineStr">
        <is>
          <t>Summer 2026</t>
        </is>
      </c>
      <c r="G31" t="inlineStr">
        <is>
          <t>California</t>
        </is>
      </c>
      <c r="H31" t="inlineStr">
        <is>
          <t>Not Started</t>
        </is>
      </c>
      <c r="I31" s="9" t="inlineStr">
        <is>
          <t>Passed</t>
        </is>
      </c>
      <c r="J31" t="inlineStr"/>
      <c r="K31" t="inlineStr">
        <is>
          <t>No</t>
        </is>
      </c>
      <c r="L31" t="inlineStr">
        <is>
          <t>No</t>
        </is>
      </c>
      <c r="M31" t="inlineStr"/>
      <c r="N31" t="inlineStr"/>
      <c r="O31" t="inlineStr">
        <is>
          <t>No</t>
        </is>
      </c>
      <c r="P31" t="inlineStr"/>
      <c r="Q31" t="inlineStr">
        <is>
          <t>No</t>
        </is>
      </c>
      <c r="R31" t="inlineStr"/>
      <c r="S31" t="inlineStr">
        <is>
          <t>Communications tech</t>
        </is>
      </c>
      <c r="T31" t="inlineStr">
        <is>
          <t>80</t>
        </is>
      </c>
      <c r="U31" t="inlineStr">
        <is>
          <t>Medium</t>
        </is>
      </c>
      <c r="V31" t="inlineStr"/>
      <c r="W31" t="inlineStr"/>
    </row>
    <row r="32">
      <c r="A32" t="inlineStr">
        <is>
          <t>APP-031</t>
        </is>
      </c>
      <c r="B32" t="inlineStr">
        <is>
          <t>GE HealthCare</t>
        </is>
      </c>
      <c r="C32" t="inlineStr">
        <is>
          <t>Software Engineering Intern</t>
        </is>
      </c>
      <c r="D32" t="inlineStr">
        <is>
          <t>https://www.gehealthcare.com/careers</t>
        </is>
      </c>
      <c r="E32" t="inlineStr">
        <is>
          <t>Direct</t>
        </is>
      </c>
      <c r="F32" t="inlineStr">
        <is>
          <t>Summer 2026</t>
        </is>
      </c>
      <c r="G32" t="inlineStr">
        <is>
          <t>Ohio</t>
        </is>
      </c>
      <c r="H32" t="inlineStr">
        <is>
          <t>Not Started</t>
        </is>
      </c>
      <c r="I32" s="9" t="inlineStr">
        <is>
          <t>Passed</t>
        </is>
      </c>
      <c r="J32" t="inlineStr"/>
      <c r="K32" t="inlineStr">
        <is>
          <t>No</t>
        </is>
      </c>
      <c r="L32" t="inlineStr">
        <is>
          <t>No</t>
        </is>
      </c>
      <c r="M32" t="inlineStr"/>
      <c r="N32" t="inlineStr"/>
      <c r="O32" t="inlineStr">
        <is>
          <t>No</t>
        </is>
      </c>
      <c r="P32" t="inlineStr"/>
      <c r="Q32" t="inlineStr">
        <is>
          <t>No</t>
        </is>
      </c>
      <c r="R32" t="inlineStr"/>
      <c r="S32" t="inlineStr">
        <is>
          <t>Healthcare tech</t>
        </is>
      </c>
      <c r="T32" t="inlineStr">
        <is>
          <t>79</t>
        </is>
      </c>
      <c r="U32" t="inlineStr">
        <is>
          <t>Medium</t>
        </is>
      </c>
      <c r="V32" t="inlineStr"/>
      <c r="W32" t="inlineStr"/>
    </row>
    <row r="33">
      <c r="A33" t="inlineStr">
        <is>
          <t>APP-032</t>
        </is>
      </c>
      <c r="B33" t="inlineStr">
        <is>
          <t>Micron Technology</t>
        </is>
      </c>
      <c r="C33" t="inlineStr">
        <is>
          <t>SSD Firmware Intern</t>
        </is>
      </c>
      <c r="D33" t="inlineStr">
        <is>
          <t>https://www.micron.com/careers</t>
        </is>
      </c>
      <c r="E33" t="inlineStr">
        <is>
          <t>Direct</t>
        </is>
      </c>
      <c r="F33" t="inlineStr">
        <is>
          <t>Summer 2026</t>
        </is>
      </c>
      <c r="G33" t="inlineStr">
        <is>
          <t>San Jose, CA</t>
        </is>
      </c>
      <c r="H33" t="inlineStr">
        <is>
          <t>Not Started</t>
        </is>
      </c>
      <c r="I33" s="9" t="inlineStr">
        <is>
          <t>Passed</t>
        </is>
      </c>
      <c r="J33" t="inlineStr"/>
      <c r="K33" t="inlineStr">
        <is>
          <t>No</t>
        </is>
      </c>
      <c r="L33" t="inlineStr">
        <is>
          <t>No</t>
        </is>
      </c>
      <c r="M33" t="inlineStr"/>
      <c r="N33" t="inlineStr"/>
      <c r="O33" t="inlineStr">
        <is>
          <t>No</t>
        </is>
      </c>
      <c r="P33" t="inlineStr"/>
      <c r="Q33" t="inlineStr">
        <is>
          <t>No</t>
        </is>
      </c>
      <c r="R33" t="inlineStr"/>
      <c r="S33" t="inlineStr">
        <is>
          <t>Memory/Storage</t>
        </is>
      </c>
      <c r="T33" t="inlineStr">
        <is>
          <t>81</t>
        </is>
      </c>
      <c r="U33" t="inlineStr">
        <is>
          <t>High</t>
        </is>
      </c>
      <c r="V33" t="inlineStr"/>
      <c r="W33" t="inlineStr"/>
    </row>
    <row r="34">
      <c r="A34" t="inlineStr">
        <is>
          <t>APP-033</t>
        </is>
      </c>
      <c r="B34" t="inlineStr">
        <is>
          <t>Roku</t>
        </is>
      </c>
      <c r="C34" t="inlineStr">
        <is>
          <t>Software Engineer Intern</t>
        </is>
      </c>
      <c r="D34" t="inlineStr">
        <is>
          <t>https://www.roku.com/careers</t>
        </is>
      </c>
      <c r="E34" t="inlineStr">
        <is>
          <t>Direct</t>
        </is>
      </c>
      <c r="F34" t="inlineStr">
        <is>
          <t>Summer 2026</t>
        </is>
      </c>
      <c r="G34" t="inlineStr">
        <is>
          <t>UK / Remote</t>
        </is>
      </c>
      <c r="H34" t="inlineStr">
        <is>
          <t>Not Started</t>
        </is>
      </c>
      <c r="I34" s="9" t="inlineStr">
        <is>
          <t>Passed</t>
        </is>
      </c>
      <c r="J34" t="inlineStr"/>
      <c r="K34" t="inlineStr">
        <is>
          <t>No</t>
        </is>
      </c>
      <c r="L34" t="inlineStr">
        <is>
          <t>No</t>
        </is>
      </c>
      <c r="M34" t="inlineStr"/>
      <c r="N34" t="inlineStr"/>
      <c r="O34" t="inlineStr">
        <is>
          <t>No</t>
        </is>
      </c>
      <c r="P34" t="inlineStr"/>
      <c r="Q34" t="inlineStr">
        <is>
          <t>No</t>
        </is>
      </c>
      <c r="R34" t="inlineStr"/>
      <c r="S34" t="inlineStr">
        <is>
          <t>Streaming platform</t>
        </is>
      </c>
      <c r="T34" t="inlineStr">
        <is>
          <t>78</t>
        </is>
      </c>
      <c r="U34" t="inlineStr">
        <is>
          <t>Medium</t>
        </is>
      </c>
      <c r="V34" t="inlineStr"/>
      <c r="W34" t="inlineStr"/>
    </row>
    <row r="35">
      <c r="A35" t="inlineStr">
        <is>
          <t>APP-034</t>
        </is>
      </c>
      <c r="B35" t="inlineStr">
        <is>
          <t>Credit Acceptance</t>
        </is>
      </c>
      <c r="C35" t="inlineStr">
        <is>
          <t>Software Engineer Intern</t>
        </is>
      </c>
      <c r="D35" t="inlineStr">
        <is>
          <t>https://www.creditacceptance.com/careers</t>
        </is>
      </c>
      <c r="E35" t="inlineStr">
        <is>
          <t>Direct</t>
        </is>
      </c>
      <c r="F35" t="inlineStr">
        <is>
          <t>Summer 2026</t>
        </is>
      </c>
      <c r="G35" t="inlineStr">
        <is>
          <t>Remote</t>
        </is>
      </c>
      <c r="H35" t="inlineStr">
        <is>
          <t>Not Started</t>
        </is>
      </c>
      <c r="I35" s="9" t="inlineStr">
        <is>
          <t>Passed</t>
        </is>
      </c>
      <c r="J35" t="inlineStr"/>
      <c r="K35" t="inlineStr">
        <is>
          <t>No</t>
        </is>
      </c>
      <c r="L35" t="inlineStr">
        <is>
          <t>No</t>
        </is>
      </c>
      <c r="M35" t="inlineStr"/>
      <c r="N35" t="inlineStr"/>
      <c r="O35" t="inlineStr">
        <is>
          <t>No</t>
        </is>
      </c>
      <c r="P35" t="inlineStr"/>
      <c r="Q35" t="inlineStr">
        <is>
          <t>No</t>
        </is>
      </c>
      <c r="R35" t="inlineStr"/>
      <c r="S35" t="inlineStr">
        <is>
          <t>Fintech</t>
        </is>
      </c>
      <c r="T35" t="inlineStr">
        <is>
          <t>77</t>
        </is>
      </c>
      <c r="U35" t="inlineStr">
        <is>
          <t>Medium</t>
        </is>
      </c>
      <c r="V35" t="inlineStr"/>
      <c r="W35" t="inlineStr"/>
    </row>
    <row r="36">
      <c r="A36" t="inlineStr">
        <is>
          <t>APP-035</t>
        </is>
      </c>
      <c r="B36" t="inlineStr">
        <is>
          <t>Roadie</t>
        </is>
      </c>
      <c r="C36" t="inlineStr">
        <is>
          <t>Software Engineer Intern</t>
        </is>
      </c>
      <c r="D36" t="inlineStr">
        <is>
          <t>https://www.roadie.com/careers</t>
        </is>
      </c>
      <c r="E36" t="inlineStr">
        <is>
          <t>Direct</t>
        </is>
      </c>
      <c r="F36" t="inlineStr">
        <is>
          <t>Summer 2026</t>
        </is>
      </c>
      <c r="G36" t="inlineStr">
        <is>
          <t>Remote</t>
        </is>
      </c>
      <c r="H36" t="inlineStr">
        <is>
          <t>Not Started</t>
        </is>
      </c>
      <c r="I36" s="9" t="inlineStr">
        <is>
          <t>Passed</t>
        </is>
      </c>
      <c r="J36" t="inlineStr"/>
      <c r="K36" t="inlineStr">
        <is>
          <t>No</t>
        </is>
      </c>
      <c r="L36" t="inlineStr">
        <is>
          <t>No</t>
        </is>
      </c>
      <c r="M36" t="inlineStr"/>
      <c r="N36" t="inlineStr"/>
      <c r="O36" t="inlineStr">
        <is>
          <t>No</t>
        </is>
      </c>
      <c r="P36" t="inlineStr"/>
      <c r="Q36" t="inlineStr">
        <is>
          <t>No</t>
        </is>
      </c>
      <c r="R36" t="inlineStr"/>
      <c r="S36" t="inlineStr">
        <is>
          <t>Delivery platform</t>
        </is>
      </c>
      <c r="T36" t="inlineStr">
        <is>
          <t>76</t>
        </is>
      </c>
      <c r="U36" t="inlineStr">
        <is>
          <t>Medium</t>
        </is>
      </c>
      <c r="V36" t="inlineStr"/>
      <c r="W36" t="inlineStr"/>
    </row>
    <row r="37">
      <c r="A37" t="inlineStr">
        <is>
          <t>APP-036</t>
        </is>
      </c>
      <c r="B37" t="inlineStr">
        <is>
          <t>PTC</t>
        </is>
      </c>
      <c r="C37" t="inlineStr">
        <is>
          <t>Software Engineering Intern</t>
        </is>
      </c>
      <c r="D37" t="inlineStr">
        <is>
          <t>https://www.ptc.com/careers</t>
        </is>
      </c>
      <c r="E37" t="inlineStr">
        <is>
          <t>Direct</t>
        </is>
      </c>
      <c r="F37" t="inlineStr">
        <is>
          <t>Summer 2026</t>
        </is>
      </c>
      <c r="G37" t="inlineStr">
        <is>
          <t>Boston, MA</t>
        </is>
      </c>
      <c r="H37" t="inlineStr">
        <is>
          <t>Not Started</t>
        </is>
      </c>
      <c r="I37" s="9" t="inlineStr">
        <is>
          <t>Passed</t>
        </is>
      </c>
      <c r="J37" t="inlineStr"/>
      <c r="K37" t="inlineStr">
        <is>
          <t>No</t>
        </is>
      </c>
      <c r="L37" t="inlineStr">
        <is>
          <t>No</t>
        </is>
      </c>
      <c r="M37" t="inlineStr"/>
      <c r="N37" t="inlineStr"/>
      <c r="O37" t="inlineStr">
        <is>
          <t>No</t>
        </is>
      </c>
      <c r="P37" t="inlineStr"/>
      <c r="Q37" t="inlineStr">
        <is>
          <t>No</t>
        </is>
      </c>
      <c r="R37" t="inlineStr"/>
      <c r="S37" t="inlineStr">
        <is>
          <t>Industrial software</t>
        </is>
      </c>
      <c r="T37" t="inlineStr">
        <is>
          <t>75</t>
        </is>
      </c>
      <c r="U37" t="inlineStr">
        <is>
          <t>Medium</t>
        </is>
      </c>
      <c r="V37" t="inlineStr"/>
      <c r="W37" t="inlineStr"/>
    </row>
    <row r="38">
      <c r="A38" t="inlineStr">
        <is>
          <t>APP-037</t>
        </is>
      </c>
      <c r="B38" t="inlineStr">
        <is>
          <t>KLA</t>
        </is>
      </c>
      <c r="C38" t="inlineStr">
        <is>
          <t>Research Scientist Intern</t>
        </is>
      </c>
      <c r="D38" t="inlineStr">
        <is>
          <t>https://www.kla.com/careers</t>
        </is>
      </c>
      <c r="E38" t="inlineStr">
        <is>
          <t>Direct</t>
        </is>
      </c>
      <c r="F38" t="inlineStr">
        <is>
          <t>Summer 2026</t>
        </is>
      </c>
      <c r="G38" t="inlineStr">
        <is>
          <t>Ann Arbor, MI</t>
        </is>
      </c>
      <c r="H38" t="inlineStr">
        <is>
          <t>Not Started</t>
        </is>
      </c>
      <c r="I38" s="9" t="inlineStr">
        <is>
          <t>Passed</t>
        </is>
      </c>
      <c r="J38" t="inlineStr"/>
      <c r="K38" t="inlineStr">
        <is>
          <t>No</t>
        </is>
      </c>
      <c r="L38" t="inlineStr">
        <is>
          <t>No</t>
        </is>
      </c>
      <c r="M38" t="inlineStr"/>
      <c r="N38" t="inlineStr"/>
      <c r="O38" t="inlineStr">
        <is>
          <t>No</t>
        </is>
      </c>
      <c r="P38" t="inlineStr"/>
      <c r="Q38" t="inlineStr">
        <is>
          <t>No</t>
        </is>
      </c>
      <c r="R38" t="inlineStr"/>
      <c r="S38" t="inlineStr">
        <is>
          <t>Semiconductor research</t>
        </is>
      </c>
      <c r="T38" t="inlineStr">
        <is>
          <t>80</t>
        </is>
      </c>
      <c r="U38" t="inlineStr">
        <is>
          <t>High</t>
        </is>
      </c>
      <c r="V38" t="inlineStr"/>
      <c r="W38" t="inlineStr"/>
    </row>
    <row r="39">
      <c r="A39" t="inlineStr">
        <is>
          <t>APP-038</t>
        </is>
      </c>
      <c r="B39" t="inlineStr">
        <is>
          <t>Johnson &amp; Johnson</t>
        </is>
      </c>
      <c r="C39" t="inlineStr">
        <is>
          <t>Clinical Data Analytics &amp; AI Intern</t>
        </is>
      </c>
      <c r="D39" t="inlineStr">
        <is>
          <t>https://www.jnj.com/careers</t>
        </is>
      </c>
      <c r="E39" t="inlineStr">
        <is>
          <t>Direct</t>
        </is>
      </c>
      <c r="F39" t="inlineStr">
        <is>
          <t>Summer 2026</t>
        </is>
      </c>
      <c r="G39" t="inlineStr">
        <is>
          <t>Cincinnati, OH</t>
        </is>
      </c>
      <c r="H39" t="inlineStr">
        <is>
          <t>Not Started</t>
        </is>
      </c>
      <c r="I39" s="9" t="inlineStr">
        <is>
          <t>Passed</t>
        </is>
      </c>
      <c r="J39" t="inlineStr"/>
      <c r="K39" t="inlineStr">
        <is>
          <t>No</t>
        </is>
      </c>
      <c r="L39" t="inlineStr">
        <is>
          <t>No</t>
        </is>
      </c>
      <c r="M39" t="inlineStr"/>
      <c r="N39" t="inlineStr"/>
      <c r="O39" t="inlineStr">
        <is>
          <t>No</t>
        </is>
      </c>
      <c r="P39" t="inlineStr"/>
      <c r="Q39" t="inlineStr">
        <is>
          <t>No</t>
        </is>
      </c>
      <c r="R39" t="inlineStr"/>
      <c r="S39" t="inlineStr">
        <is>
          <t>Healthcare AI</t>
        </is>
      </c>
      <c r="T39" t="inlineStr">
        <is>
          <t>79</t>
        </is>
      </c>
      <c r="U39" t="inlineStr">
        <is>
          <t>Medium</t>
        </is>
      </c>
      <c r="V39" t="inlineStr"/>
      <c r="W39" t="inlineStr"/>
    </row>
    <row r="40">
      <c r="A40" t="inlineStr">
        <is>
          <t>APP-039</t>
        </is>
      </c>
      <c r="B40" t="inlineStr">
        <is>
          <t>Bloom (YC)</t>
        </is>
      </c>
      <c r="C40" t="inlineStr">
        <is>
          <t>AI/Full-Stack Intern</t>
        </is>
      </c>
      <c r="D40" t="inlineStr">
        <is>
          <t>https://www.ycombinator.com/companies/bloom-4</t>
        </is>
      </c>
      <c r="E40" t="inlineStr">
        <is>
          <t>Y Combinator</t>
        </is>
      </c>
      <c r="F40" t="inlineStr">
        <is>
          <t>Summer 2026</t>
        </is>
      </c>
      <c r="G40" t="inlineStr">
        <is>
          <t>Zurich</t>
        </is>
      </c>
      <c r="H40" t="inlineStr">
        <is>
          <t>Not Started</t>
        </is>
      </c>
      <c r="I40" s="9" t="inlineStr">
        <is>
          <t>Passed</t>
        </is>
      </c>
      <c r="J40" t="inlineStr"/>
      <c r="K40" t="inlineStr">
        <is>
          <t>No</t>
        </is>
      </c>
      <c r="L40" t="inlineStr">
        <is>
          <t>No</t>
        </is>
      </c>
      <c r="M40" t="inlineStr"/>
      <c r="N40" t="inlineStr"/>
      <c r="O40" t="inlineStr">
        <is>
          <t>No</t>
        </is>
      </c>
      <c r="P40" t="inlineStr"/>
      <c r="Q40" t="inlineStr">
        <is>
          <t>No</t>
        </is>
      </c>
      <c r="R40" t="inlineStr"/>
      <c r="S40" t="inlineStr">
        <is>
          <t>$6-10K/month</t>
        </is>
      </c>
      <c r="T40" t="inlineStr">
        <is>
          <t>78</t>
        </is>
      </c>
      <c r="U40" t="inlineStr">
        <is>
          <t>Medium</t>
        </is>
      </c>
      <c r="V40" t="inlineStr"/>
      <c r="W40" t="inlineStr"/>
    </row>
    <row r="41">
      <c r="A41" t="inlineStr">
        <is>
          <t>APP-040</t>
        </is>
      </c>
      <c r="B41" t="inlineStr">
        <is>
          <t>Cohere</t>
        </is>
      </c>
      <c r="C41" t="inlineStr">
        <is>
          <t>Software Engineering</t>
        </is>
      </c>
      <c r="D41" t="inlineStr">
        <is>
          <t>https://cohere.com/careers</t>
        </is>
      </c>
      <c r="E41" t="inlineStr">
        <is>
          <t>Direct</t>
        </is>
      </c>
      <c r="F41" t="inlineStr">
        <is>
          <t>Summer 2026</t>
        </is>
      </c>
      <c r="G41" t="inlineStr">
        <is>
          <t>Remote</t>
        </is>
      </c>
      <c r="H41" t="inlineStr">
        <is>
          <t>Not Started</t>
        </is>
      </c>
      <c r="I41" s="9" t="inlineStr">
        <is>
          <t>Passed</t>
        </is>
      </c>
      <c r="J41" t="inlineStr"/>
      <c r="K41" t="inlineStr">
        <is>
          <t>No</t>
        </is>
      </c>
      <c r="L41" t="inlineStr">
        <is>
          <t>No</t>
        </is>
      </c>
      <c r="M41" t="inlineStr"/>
      <c r="N41" t="inlineStr"/>
      <c r="O41" t="inlineStr">
        <is>
          <t>No</t>
        </is>
      </c>
      <c r="P41" t="inlineStr"/>
      <c r="Q41" t="inlineStr">
        <is>
          <t>No</t>
        </is>
      </c>
      <c r="R41" t="inlineStr"/>
      <c r="S41" t="inlineStr">
        <is>
          <t>AI company</t>
        </is>
      </c>
      <c r="T41" t="inlineStr">
        <is>
          <t>80</t>
        </is>
      </c>
      <c r="U41" t="inlineStr">
        <is>
          <t>Medium</t>
        </is>
      </c>
      <c r="V41" t="inlineStr"/>
      <c r="W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INTERNSHIP TRACKER SUMMARY</t>
        </is>
      </c>
    </row>
    <row r="3">
      <c r="A3" s="5" t="inlineStr">
        <is>
          <t>Metric</t>
        </is>
      </c>
      <c r="B3" s="5" t="inlineStr">
        <is>
          <t>Count</t>
        </is>
      </c>
    </row>
    <row r="4">
      <c r="A4" t="inlineStr">
        <is>
          <t>Total Applications</t>
        </is>
      </c>
      <c r="B4" t="n">
        <v>40</v>
      </c>
    </row>
    <row r="5">
      <c r="A5" t="inlineStr">
        <is>
          <t>Ready to Submit</t>
        </is>
      </c>
      <c r="B5">
        <f>COUNTIF(Applications!H:H,"Ready to Submit")</f>
        <v/>
      </c>
    </row>
    <row r="6">
      <c r="A6" t="inlineStr">
        <is>
          <t>Applied</t>
        </is>
      </c>
      <c r="B6">
        <f>COUNTIF(Applications!H:H,"Applied")</f>
        <v/>
      </c>
    </row>
    <row r="7">
      <c r="A7" t="inlineStr">
        <is>
          <t>Interviewing</t>
        </is>
      </c>
      <c r="B7">
        <f>COUNTIF(Applications!H:H,"Interviewing")</f>
        <v/>
      </c>
    </row>
    <row r="8">
      <c r="A8" t="inlineStr">
        <is>
          <t>Offers</t>
        </is>
      </c>
      <c r="B8">
        <f>COUNTIF(Applications!H:H,"Offer")</f>
        <v/>
      </c>
    </row>
    <row r="9">
      <c r="A9" t="inlineStr">
        <is>
          <t>Rejected</t>
        </is>
      </c>
      <c r="B9">
        <f>COUNTIF(Applications!H:H,"Rejected")</f>
        <v/>
      </c>
    </row>
    <row r="10">
      <c r="A10" t="inlineStr">
        <is>
          <t>Response Rate</t>
        </is>
      </c>
      <c r="B10">
        <f>IF(B6&gt;0,(B7+B8+B9)/B6*100&amp;"%","N/A")</f>
        <v/>
      </c>
    </row>
    <row r="12">
      <c r="A12" t="inlineStr">
        <is>
          <t>High Priority</t>
        </is>
      </c>
      <c r="B12">
        <f>COUNTIF(Applications!W:W,"High")</f>
        <v/>
      </c>
    </row>
    <row r="13">
      <c r="A13" t="inlineStr">
        <is>
          <t>Medium Priority</t>
        </is>
      </c>
      <c r="B13">
        <f>COUNTIF(Applications!W:W,"Medium")</f>
        <v/>
      </c>
    </row>
    <row r="15">
      <c r="A15" t="inlineStr">
        <is>
          <t>Last Updated</t>
        </is>
      </c>
      <c r="B15" t="inlineStr">
        <is>
          <t>2026-02-26 04:37:28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Date Detected</t>
        </is>
      </c>
      <c r="B1" s="7" t="inlineStr">
        <is>
          <t>Company</t>
        </is>
      </c>
      <c r="C1" s="7" t="inlineStr">
        <is>
          <t>Role</t>
        </is>
      </c>
      <c r="D1" s="7" t="inlineStr">
        <is>
          <t>Job URL</t>
        </is>
      </c>
      <c r="E1" s="7" t="inlineStr">
        <is>
          <t>Reason Skipped</t>
        </is>
      </c>
      <c r="F1" s="7" t="inlineStr">
        <is>
          <t>Original Application ID</t>
        </is>
      </c>
      <c r="G1" s="7" t="inlineStr">
        <is>
          <t>Original Date Applied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Date Flagged</t>
        </is>
      </c>
      <c r="B1" s="8" t="inlineStr">
        <is>
          <t>Company</t>
        </is>
      </c>
      <c r="C1" s="8" t="inlineStr">
        <is>
          <t>Role</t>
        </is>
      </c>
      <c r="D1" s="8" t="inlineStr">
        <is>
          <t>Job URL</t>
        </is>
      </c>
      <c r="E1" s="8" t="inlineStr">
        <is>
          <t>Reason Flagged</t>
        </is>
      </c>
      <c r="F1" s="8" t="inlineStr">
        <is>
          <t>Existing Application ID</t>
        </is>
      </c>
      <c r="G1" s="8" t="inlineStr">
        <is>
          <t>Existing Role</t>
        </is>
      </c>
      <c r="H1" s="8" t="inlineStr">
        <is>
          <t>Action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2026-02-25T12:56:33Z</dcterms:created>
  <dcterms:modified xsi:type="dcterms:W3CDTF">2026-02-25T20:37:28Z</dcterms:modified>
</cp:coreProperties>
</file>